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wELtSfMhgnDXsxO9dHdGPMs90TgH0EMYQpmSVFqhT5I="/>
    </ext>
  </extLst>
</workbook>
</file>

<file path=xl/sharedStrings.xml><?xml version="1.0" encoding="utf-8"?>
<sst xmlns="http://schemas.openxmlformats.org/spreadsheetml/2006/main" count="13" uniqueCount="13">
  <si>
    <t>Control del Sprint 1 en 2 semanas</t>
  </si>
  <si>
    <t>Historias de Usuario o Spike</t>
  </si>
  <si>
    <t>horas estimadas</t>
  </si>
  <si>
    <t>DIA</t>
  </si>
  <si>
    <t>Total</t>
  </si>
  <si>
    <t>HU-01 Registrar nuevo producto</t>
  </si>
  <si>
    <t>HU-02 Editar producto existente</t>
  </si>
  <si>
    <t>HU-03 Eliminar un producto</t>
  </si>
  <si>
    <t>HU-04 Buscar y filtrar productos del sistema</t>
  </si>
  <si>
    <t>HU-05 Visualizar detalle de un producto</t>
  </si>
  <si>
    <t>Total por dia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</si>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</sst>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ill="1" applyFont="1">
      <alignment shrinkToFit="0" vertical="bottom" wrapText="0"/>
    </xf>
    <xf borderId="7" fillId="0" fontId="3" numFmtId="0" xfId="0" applyBorder="1" applyFont="1"/>
    <xf borderId="8" fillId="3" fontId="2" numFmtId="0" xfId="0" applyAlignment="1" applyBorder="1" applyFill="1" applyFont="1">
      <alignment shrinkToFit="0" vertical="bottom" wrapText="0"/>
    </xf>
    <xf borderId="8" fillId="3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>
              <a:solidFill>
                <a:srgbClr val="4472C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Ejemplo1!$C$12:$V$12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Ejemplo1!$C$14:$V$14</c:f>
              <c:numCache/>
            </c:numRef>
          </c:val>
          <c:smooth val="0"/>
        </c:ser>
        <c:axId val="663783397"/>
        <c:axId val="1465821331"/>
      </c:lineChart>
      <c:catAx>
        <c:axId val="663783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465821331"/>
      </c:catAx>
      <c:valAx>
        <c:axId val="1465821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637833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76200</xdr:rowOff>
    </xdr:from>
    <xdr:ext cx="4343400" cy="3286125"/>
    <xdr:graphicFrame>
      <xdr:nvGraphicFramePr>
        <xdr:cNvPr id="166897106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7.0"/>
    <col customWidth="1" min="3" max="4" width="5.57"/>
    <col customWidth="1" min="5" max="5" width="5.43"/>
    <col customWidth="1" min="6" max="6" width="6.0"/>
    <col customWidth="1" min="7" max="7" width="5.29"/>
    <col customWidth="1" min="8" max="22" width="3.43"/>
    <col customWidth="1" min="23" max="23" width="10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  <c r="X3" s="2"/>
      <c r="Y3" s="2"/>
      <c r="Z3" s="2"/>
      <c r="AA3" s="2"/>
      <c r="AB3" s="2"/>
    </row>
    <row r="4" ht="15.0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  <c r="X4" s="2"/>
      <c r="Y4" s="2"/>
      <c r="Z4" s="2"/>
      <c r="AA4" s="2"/>
      <c r="AB4" s="2"/>
    </row>
    <row r="5" ht="15.0" customHeight="1">
      <c r="A5" s="10" t="s">
        <v>5</v>
      </c>
      <c r="B5" s="11">
        <v>27.0</v>
      </c>
      <c r="C5" s="10">
        <v>6.0</v>
      </c>
      <c r="D5" s="10">
        <v>6.0</v>
      </c>
      <c r="E5" s="10">
        <v>6.0</v>
      </c>
      <c r="F5" s="10">
        <v>6.0</v>
      </c>
      <c r="G5" s="10">
        <v>3.0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2">
        <f t="shared" ref="W5:W9" si="1">SUM(C5:V5)</f>
        <v>27</v>
      </c>
      <c r="X5" s="2"/>
      <c r="Y5" s="2"/>
      <c r="Z5" s="2"/>
      <c r="AA5" s="2"/>
      <c r="AB5" s="2"/>
    </row>
    <row r="6" ht="15.0" customHeight="1">
      <c r="A6" s="10" t="s">
        <v>6</v>
      </c>
      <c r="B6" s="11">
        <v>9.0</v>
      </c>
      <c r="C6" s="10"/>
      <c r="D6" s="10"/>
      <c r="E6" s="10"/>
      <c r="F6" s="10"/>
      <c r="G6" s="10">
        <v>3.0</v>
      </c>
      <c r="H6" s="10">
        <v>6.0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3">
        <f t="shared" si="1"/>
        <v>9</v>
      </c>
      <c r="X6" s="2"/>
      <c r="Y6" s="2"/>
      <c r="Z6" s="2"/>
      <c r="AA6" s="2"/>
      <c r="AB6" s="2"/>
    </row>
    <row r="7" ht="15.0" customHeight="1">
      <c r="A7" s="10" t="s">
        <v>7</v>
      </c>
      <c r="B7" s="11">
        <v>9.0</v>
      </c>
      <c r="C7" s="10"/>
      <c r="D7" s="10"/>
      <c r="E7" s="10"/>
      <c r="F7" s="10"/>
      <c r="G7" s="10"/>
      <c r="H7" s="10"/>
      <c r="I7" s="10">
        <v>6.0</v>
      </c>
      <c r="J7" s="10">
        <v>3.0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3">
        <f t="shared" si="1"/>
        <v>9</v>
      </c>
      <c r="X7" s="2"/>
      <c r="Y7" s="2"/>
      <c r="Z7" s="2"/>
      <c r="AA7" s="2"/>
      <c r="AB7" s="2"/>
    </row>
    <row r="8" ht="15.0" customHeight="1">
      <c r="A8" s="10" t="s">
        <v>8</v>
      </c>
      <c r="B8" s="11">
        <v>11.0</v>
      </c>
      <c r="C8" s="10"/>
      <c r="D8" s="10"/>
      <c r="E8" s="10"/>
      <c r="F8" s="10"/>
      <c r="G8" s="10"/>
      <c r="H8" s="10"/>
      <c r="I8" s="10"/>
      <c r="J8" s="10">
        <v>3.0</v>
      </c>
      <c r="K8" s="10">
        <v>6.0</v>
      </c>
      <c r="L8" s="10">
        <v>2.0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3">
        <f t="shared" si="1"/>
        <v>11</v>
      </c>
      <c r="X8" s="2"/>
      <c r="Y8" s="2"/>
      <c r="Z8" s="2"/>
      <c r="AA8" s="2"/>
      <c r="AB8" s="2"/>
    </row>
    <row r="9" ht="15.0" customHeight="1">
      <c r="A9" s="10" t="s">
        <v>9</v>
      </c>
      <c r="B9" s="11">
        <v>6.0</v>
      </c>
      <c r="C9" s="10"/>
      <c r="D9" s="10"/>
      <c r="E9" s="10"/>
      <c r="F9" s="10"/>
      <c r="G9" s="10"/>
      <c r="H9" s="10"/>
      <c r="I9" s="10"/>
      <c r="J9" s="10"/>
      <c r="K9" s="10"/>
      <c r="L9" s="10">
        <v>6.0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3">
        <f t="shared" si="1"/>
        <v>6</v>
      </c>
      <c r="X9" s="2"/>
      <c r="Y9" s="2"/>
      <c r="Z9" s="2"/>
      <c r="AA9" s="2"/>
      <c r="AB9" s="2"/>
    </row>
    <row r="10" ht="15.0" customHeight="1">
      <c r="A10" s="10" t="s">
        <v>10</v>
      </c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4">
        <v>0.0</v>
      </c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0" customHeight="1">
      <c r="A12" s="15" t="s">
        <v>11</v>
      </c>
      <c r="B12" s="16">
        <f>SUM(B5:B11)</f>
        <v>62</v>
      </c>
      <c r="C12" s="16">
        <f t="shared" ref="C12:V12" si="2">B12-SUM(C5:C10)</f>
        <v>56</v>
      </c>
      <c r="D12" s="16">
        <f t="shared" si="2"/>
        <v>50</v>
      </c>
      <c r="E12" s="16">
        <f t="shared" si="2"/>
        <v>44</v>
      </c>
      <c r="F12" s="16">
        <f t="shared" si="2"/>
        <v>38</v>
      </c>
      <c r="G12" s="16">
        <f t="shared" si="2"/>
        <v>32</v>
      </c>
      <c r="H12" s="16">
        <f t="shared" si="2"/>
        <v>26</v>
      </c>
      <c r="I12" s="16">
        <f t="shared" si="2"/>
        <v>20</v>
      </c>
      <c r="J12" s="16">
        <f t="shared" si="2"/>
        <v>14</v>
      </c>
      <c r="K12" s="16">
        <f t="shared" si="2"/>
        <v>8</v>
      </c>
      <c r="L12" s="16">
        <f t="shared" si="2"/>
        <v>0</v>
      </c>
      <c r="M12" s="16">
        <f t="shared" si="2"/>
        <v>0</v>
      </c>
      <c r="N12" s="16">
        <f t="shared" si="2"/>
        <v>0</v>
      </c>
      <c r="O12" s="16">
        <f t="shared" si="2"/>
        <v>0</v>
      </c>
      <c r="P12" s="16">
        <f t="shared" si="2"/>
        <v>0</v>
      </c>
      <c r="Q12" s="16">
        <f t="shared" si="2"/>
        <v>0</v>
      </c>
      <c r="R12" s="16">
        <f t="shared" si="2"/>
        <v>0</v>
      </c>
      <c r="S12" s="16">
        <f t="shared" si="2"/>
        <v>0</v>
      </c>
      <c r="T12" s="16">
        <f t="shared" si="2"/>
        <v>0</v>
      </c>
      <c r="U12" s="16">
        <f t="shared" si="2"/>
        <v>0</v>
      </c>
      <c r="V12" s="16">
        <f t="shared" si="2"/>
        <v>0</v>
      </c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0" customHeight="1">
      <c r="A14" s="15" t="s">
        <v>12</v>
      </c>
      <c r="B14" s="16">
        <f>SUM(B5:B10)</f>
        <v>62</v>
      </c>
      <c r="C14" s="16">
        <f t="shared" ref="C14:V14" si="3">B14-(SUM($B$5:$B$10)/20)</f>
        <v>58.9</v>
      </c>
      <c r="D14" s="16">
        <f t="shared" si="3"/>
        <v>55.8</v>
      </c>
      <c r="E14" s="16">
        <f t="shared" si="3"/>
        <v>52.7</v>
      </c>
      <c r="F14" s="16">
        <f t="shared" si="3"/>
        <v>49.6</v>
      </c>
      <c r="G14" s="16">
        <f t="shared" si="3"/>
        <v>46.5</v>
      </c>
      <c r="H14" s="16">
        <f t="shared" si="3"/>
        <v>43.4</v>
      </c>
      <c r="I14" s="16">
        <f t="shared" si="3"/>
        <v>40.3</v>
      </c>
      <c r="J14" s="16">
        <f t="shared" si="3"/>
        <v>37.2</v>
      </c>
      <c r="K14" s="16">
        <f t="shared" si="3"/>
        <v>34.1</v>
      </c>
      <c r="L14" s="16">
        <f t="shared" si="3"/>
        <v>31</v>
      </c>
      <c r="M14" s="16">
        <f t="shared" si="3"/>
        <v>27.9</v>
      </c>
      <c r="N14" s="16">
        <f t="shared" si="3"/>
        <v>24.8</v>
      </c>
      <c r="O14" s="16">
        <f t="shared" si="3"/>
        <v>21.7</v>
      </c>
      <c r="P14" s="16">
        <f t="shared" si="3"/>
        <v>18.6</v>
      </c>
      <c r="Q14" s="16">
        <f t="shared" si="3"/>
        <v>15.5</v>
      </c>
      <c r="R14" s="16">
        <f t="shared" si="3"/>
        <v>12.4</v>
      </c>
      <c r="S14" s="16">
        <f t="shared" si="3"/>
        <v>9.3</v>
      </c>
      <c r="T14" s="16">
        <f t="shared" si="3"/>
        <v>6.2</v>
      </c>
      <c r="U14" s="16">
        <f t="shared" si="3"/>
        <v>3.1</v>
      </c>
      <c r="V14" s="16">
        <f t="shared" si="3"/>
        <v>0</v>
      </c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0" customHeight="1">
      <c r="A16" s="2"/>
      <c r="B16" s="1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0" customHeight="1">
      <c r="A17" s="2"/>
      <c r="B17" s="17"/>
      <c r="C17" s="2"/>
      <c r="D17" s="2"/>
      <c r="E17" s="2"/>
      <c r="F17" s="2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0" customHeight="1">
      <c r="A18" s="2"/>
      <c r="B18" s="17"/>
      <c r="C18" s="2"/>
      <c r="D18" s="2"/>
      <c r="E18" s="2"/>
      <c r="F18" s="2"/>
      <c r="G18" s="1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0" customHeight="1">
      <c r="A19" s="2"/>
      <c r="B19" s="17"/>
      <c r="C19" s="2"/>
      <c r="D19" s="2"/>
      <c r="E19" s="2"/>
      <c r="F19" s="2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0" customHeight="1">
      <c r="A20" s="2"/>
      <c r="B20" s="17"/>
      <c r="C20" s="2"/>
      <c r="D20" s="2"/>
      <c r="E20" s="2"/>
      <c r="F20" s="2"/>
      <c r="G20" s="1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17"/>
      <c r="C21" s="2"/>
      <c r="D21" s="2"/>
      <c r="E21" s="2"/>
      <c r="F21" s="2"/>
      <c r="G21" s="1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17"/>
      <c r="C22" s="2"/>
      <c r="D22" s="2"/>
      <c r="E22" s="2"/>
      <c r="F22" s="2"/>
      <c r="G22" s="1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1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1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1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